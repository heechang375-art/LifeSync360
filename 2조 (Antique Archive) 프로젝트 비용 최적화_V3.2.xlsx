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제출용" sheetId="1" r:id="rId4"/>
  </sheets>
  <definedNames/>
  <calcPr/>
  <extLst>
    <ext uri="GoogleSheetsCustomDataVersion2">
      <go:sheetsCustomData xmlns:go="http://customooxmlschemas.google.com/" r:id="rId5" roundtripDataChecksum="VgweDQg5yPeDhQEWw7eZS3/X0PbhZax/t0a4Xdks3uY="/>
    </ext>
  </extLst>
</workbook>
</file>

<file path=xl/sharedStrings.xml><?xml version="1.0" encoding="utf-8"?>
<sst xmlns="http://schemas.openxmlformats.org/spreadsheetml/2006/main" count="157" uniqueCount="127">
  <si>
    <t>&lt;요약&gt;</t>
  </si>
  <si>
    <t>(단위 :)</t>
  </si>
  <si>
    <t>리전</t>
  </si>
  <si>
    <t>월 비용</t>
  </si>
  <si>
    <t>아시아 태평양(서울)</t>
  </si>
  <si>
    <t>예상 전체 비용 : 220$ , 33만원 (2026.04.27 기준), 운영 비용 : 250$(Max), 권장 비용: 220$</t>
  </si>
  <si>
    <t>아시아 태평양(오사카)</t>
  </si>
  <si>
    <t>최종 비용</t>
  </si>
  <si>
    <t>&lt;세부 내역&gt; 아시아 태평양(서울)</t>
  </si>
  <si>
    <t>서 비 스</t>
  </si>
  <si>
    <t>월  별(USD)</t>
  </si>
  <si>
    <t>구성 요약</t>
  </si>
  <si>
    <t>비   고</t>
  </si>
  <si>
    <t xml:space="preserve">Amazon EC2 </t>
  </si>
  <si>
    <t xml:space="preserve"> - 운영 체제 : Linux</t>
  </si>
  <si>
    <t xml:space="preserve"> - 인스턴스 수 : 4</t>
  </si>
  <si>
    <t xml:space="preserve"> - 인스턴스 유형 : t3.small</t>
  </si>
  <si>
    <r>
      <rPr>
        <rFont val="KoPubWorld돋움체 Light"/>
        <color rgb="FF000000"/>
        <sz val="11.0"/>
      </rPr>
      <t xml:space="preserve"> - 지불 옵션 : 온디맨드</t>
    </r>
    <r>
      <rPr>
        <rFont val="KoPubWorld돋움체 Light"/>
        <color rgb="FF000000"/>
        <sz val="10.0"/>
      </rPr>
      <t>(Hours/Month 기준 180시간)</t>
    </r>
  </si>
  <si>
    <t xml:space="preserve">AWS Lambda </t>
  </si>
  <si>
    <t xml:space="preserve"> - 아키텍처 : x86</t>
  </si>
  <si>
    <t xml:space="preserve"> - 요청 건수 : 1백만 件/월</t>
  </si>
  <si>
    <t xml:space="preserve"> - 임시 스토리지 할당량 : 512 MB</t>
  </si>
  <si>
    <t>Amazon SNS</t>
  </si>
  <si>
    <t xml:space="preserve"> - 요청 건수 : 1000/월</t>
  </si>
  <si>
    <t>- email : 1000/월</t>
  </si>
  <si>
    <t>ECR</t>
  </si>
  <si>
    <t xml:space="preserve"> - DT 인바운드(from. Internet) : 1 GB/월</t>
  </si>
  <si>
    <t xml:space="preserve"> - DT 아웃바운드(to. 서울) : 1 GB/월</t>
  </si>
  <si>
    <t xml:space="preserve"> - FIFO 대기열 요청 : 40백만 件/월</t>
  </si>
  <si>
    <t xml:space="preserve"> - 데이터 전송 비용 추가(= $0.02)</t>
  </si>
  <si>
    <t>Amazon Route 53</t>
  </si>
  <si>
    <t>호스팅 영역 (Public + Private)</t>
  </si>
  <si>
    <t xml:space="preserve">Internet gateway
</t>
  </si>
  <si>
    <t xml:space="preserve"> - 1개</t>
  </si>
  <si>
    <t>Transit Gateway</t>
  </si>
  <si>
    <t xml:space="preserve"> - 1개 Hours/Month 기준 180시간</t>
  </si>
  <si>
    <t>Amazon API Gateway</t>
  </si>
  <si>
    <t xml:space="preserve"> - HTTP API 요청 건수 : 30/월</t>
  </si>
  <si>
    <t xml:space="preserve"> - 평균 요청 크기 : 10240 KB</t>
  </si>
  <si>
    <t>Amazon EventBridge</t>
  </si>
  <si>
    <t>스케쥴러  14,000,000회/월 무료</t>
  </si>
  <si>
    <t>Amazon Aurora</t>
  </si>
  <si>
    <t>인스턴스 유형 (db.t3.medium)</t>
  </si>
  <si>
    <t>사용률 (45 Hours/Month)</t>
  </si>
  <si>
    <t>AWS Glue</t>
  </si>
  <si>
    <t>- 30분/일 테스트 기간에만(약 5일)</t>
  </si>
  <si>
    <t>AWS ECS</t>
  </si>
  <si>
    <t>운영 체제 (Linux), CPU 아키텍처 (x86), 평균 기간 (180 시간)
태스크 또는 포드 수 (1 월별), Amazon ECS에 할당된 임시 스토리지의 크기 (20 GB)</t>
  </si>
  <si>
    <t>Amazon ElastiCache</t>
  </si>
  <si>
    <t>- 노드 수: 2, cache.t3.micro (Hours/Month 기준 45시간)</t>
  </si>
  <si>
    <t>EMR(초기 데이터 적용시,  최대 : 10번)</t>
  </si>
  <si>
    <t>Amazon EMR master node on EC2: 1</t>
  </si>
  <si>
    <t>EC2 인스턴스 (m6g.xlarge)</t>
  </si>
  <si>
    <t>사용률 (3 Hours/Month)</t>
  </si>
  <si>
    <t>Amazon EMR core node on EC2: 1</t>
  </si>
  <si>
    <t>Amazon EMR task node on EC2: 2</t>
  </si>
  <si>
    <t>EMR (실시간, 정상 프로세스 처리 시)</t>
  </si>
  <si>
    <t>EC2 인스턴스 (m4.large)</t>
  </si>
  <si>
    <t>Amazon DynamoDB</t>
  </si>
  <si>
    <t xml:space="preserve"> - 스토리지 30GB , 속성 1KB기준</t>
  </si>
  <si>
    <t>AWS CodeCommit</t>
  </si>
  <si>
    <t>활성 사용자 수 : 3, 월별 50GB 스토리지, 월별 Git 요청 10,000건</t>
  </si>
  <si>
    <t>AWS CodePipeline</t>
  </si>
  <si>
    <t>3개 , 파이프라인 v1 : 3 (2$) / 파이프라인 v2 : 0$</t>
  </si>
  <si>
    <t>AWS Systems Manager</t>
  </si>
  <si>
    <t xml:space="preserve"> - 파라미터 30기준</t>
  </si>
  <si>
    <t xml:space="preserve">AWS CloudFormation
</t>
  </si>
  <si>
    <t>외부 리소스 사용 X</t>
  </si>
  <si>
    <t>AWS CloudWatch</t>
  </si>
  <si>
    <t>metrics : 7</t>
  </si>
  <si>
    <t>Standard Logs: Data Ingested :3 GB</t>
  </si>
  <si>
    <t xml:space="preserve">
(5일 사용 기준)
- 장애 원인 분석, 운영 이력 확인</t>
  </si>
  <si>
    <t>Standard Logs Delivered to CloudWatch Logs : 3 GB</t>
  </si>
  <si>
    <t>Log Storage/Archival : Yes</t>
  </si>
  <si>
    <t>Logs Delivered to S3: Data Ingested : 3 GB</t>
  </si>
  <si>
    <t>Number of Dashboards : 1</t>
  </si>
  <si>
    <t>Number of Standard Resolution Alarm Metrics : 3~4</t>
  </si>
  <si>
    <t>인스턴스 장애 감지, 서비스 오류 급증 감지, 리소스 과부하 감지, 함수 실패 감지</t>
  </si>
  <si>
    <t>Number of composite alarms : 0</t>
  </si>
  <si>
    <t>AWS Secrets Manager</t>
  </si>
  <si>
    <t>보안 정보 수: 4 ( DB 통합 1개, GCP 키 1개, Glue 환경 변수 1개, KMS ARN 1개)</t>
  </si>
  <si>
    <t>Application Load Balancer</t>
  </si>
  <si>
    <t>Processed bytes (Lambda): 0</t>
  </si>
  <si>
    <t>Processed bytes (EC2 instances and IP addresses as targets) : 0.05 GB/h</t>
  </si>
  <si>
    <t>Average new connections: 1/s</t>
  </si>
  <si>
    <t>Connection duration: 10s</t>
  </si>
  <si>
    <t>Number of Web ACLs utilized : 1</t>
  </si>
  <si>
    <t>Requests per second: 2</t>
  </si>
  <si>
    <t xml:space="preserve">AWS WAF
</t>
  </si>
  <si>
    <t>Rule evaluations per request: 1</t>
  </si>
  <si>
    <t>Number of Rules added per Web ACL : 3</t>
  </si>
  <si>
    <t>기본 웹 공격(SQLi, XSS 등) 차단, IP당 요청 폭주 차단, 사내 고정 IP만 허용하거나 특정 대역 차단</t>
  </si>
  <si>
    <t>Number of Managed Rule Groups per Web ACL : 1</t>
  </si>
  <si>
    <t>Number of web requests received across all web ACLs : 1</t>
  </si>
  <si>
    <t xml:space="preserve"> </t>
  </si>
  <si>
    <t>custom group : x</t>
  </si>
  <si>
    <t xml:space="preserve">
Amazon KinesisData Streams</t>
  </si>
  <si>
    <t>기준 레코드 수 (500 초당) , 피크 레코드 수 (500 초당)</t>
  </si>
  <si>
    <t>평균 레코드 크기 : 1KB</t>
  </si>
  <si>
    <t>소비자 애플리케이션 수 (2)</t>
  </si>
  <si>
    <t>데이터 보존 기간 (1 일)</t>
  </si>
  <si>
    <t>AWS SIte-to-Site VPN</t>
  </si>
  <si>
    <t>- 2개 Hours/Month 기준 90시간</t>
  </si>
  <si>
    <t>AWS Key Management Service</t>
  </si>
  <si>
    <t>고객 관리형 고객 마스터 키(CMK) 수: 1, 대칭 요청 수: 10000</t>
  </si>
  <si>
    <t>Amazon S3 (Raw, Processed, Curated)</t>
  </si>
  <si>
    <t>S3 Standard 스토리지 (30 GB 기준 월), S3 Standard 평균 객체 크기 (16 MB), S3 Standard에 대한 PUT, COPY, POST, LIST 요청 (10000), S3 Standard의 GET, SELECT 및 기타 모든 요청 (10000), S3 Select에 의해 반환된 데이터 (0 GB 기준 월), S3 Select에 의해 스캔된 데이터 (30 GB 기준 월)</t>
  </si>
  <si>
    <t>합   계</t>
  </si>
  <si>
    <t>&lt;세부 내역&gt; 아시아 태평양(오사카)</t>
  </si>
  <si>
    <t>월  별</t>
  </si>
  <si>
    <t xml:space="preserve"> - 인스턴스 수 : 8</t>
  </si>
  <si>
    <t xml:space="preserve"> - 인스턴스 유형 : t3.micro / wearable : t3.small or t3.medium ? - 테스트시 확인 가능</t>
  </si>
  <si>
    <t xml:space="preserve"> - 지불 옵션 : 온디맨드 Utilization: 33 %Utilized/Month), 모니터링 활성화 (비활성화됨), EBS 스토리지 크기 (20 GB),</t>
  </si>
  <si>
    <t>Network Address Translation (NAT) Gateway</t>
  </si>
  <si>
    <t xml:space="preserve"> - 2개</t>
  </si>
  <si>
    <t>활성 사용자 수 : 2, 월별 50GB 스토리지, 월별 Git 요청 10,000건</t>
  </si>
  <si>
    <t>2개 , 파이프라인 v1 : 2 (1$) / 파이프라인 v2 : 0$</t>
  </si>
  <si>
    <t>AWS CloudFormation</t>
  </si>
  <si>
    <t>metrics : 2~3</t>
  </si>
  <si>
    <t>Standard Logs: Data Ingested :1 GB</t>
  </si>
  <si>
    <t xml:space="preserve">
(5일 사용 기준)
- 장애 원인 분석</t>
  </si>
  <si>
    <t>Standard Logs Delivered to CloudWatch Logs : 1 GB</t>
  </si>
  <si>
    <t>Logs Delivered to S3: Data Ingested : 1 GB</t>
  </si>
  <si>
    <t>Number of Standard Resolution Alarm Metrics : 2</t>
  </si>
  <si>
    <t>서버 장애/다운 감지, 과부하 감지</t>
  </si>
  <si>
    <t>Number of composite alarms : 1</t>
  </si>
  <si>
    <t>보안 정보 수: 2 (VM 인프라 접속 통합 1개, AWS 연동 정보 통합 1개)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</si>
</sst>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_-;\-* #,##0.0_-;_-* &quot;-&quot;_-;_-@"/>
    <numFmt numFmtId="165" formatCode="_-* #,##0.00_-;\-* #,##0.00_-;_-* &quot;-&quot;_-;_-@"/>
  </numFmts>
  <fonts count="9">
    <font>
      <sz val="11.0"/>
      <color rgb="FF000000"/>
      <name val="Calibri"/>
      <scheme val="minor"/>
    </font>
    <font>
      <sz val="11.0"/>
      <color rgb="FF000000"/>
      <name val="KoPubWorld돋움체 Light"/>
    </font>
    <font>
      <b/>
      <sz val="11.0"/>
      <color rgb="FF000000"/>
      <name val="KoPubWorld돋움체 Light"/>
    </font>
    <font/>
    <font>
      <sz val="10.0"/>
      <color rgb="FF000000"/>
      <name val="KoPubWorld돋움체 Light"/>
    </font>
    <font>
      <sz val="11.0"/>
      <color theme="1"/>
      <name val="Arial"/>
    </font>
    <font>
      <sz val="11.0"/>
      <color theme="1"/>
      <name val="Calibri"/>
    </font>
    <font>
      <sz val="11.0"/>
      <color rgb="FF16191F"/>
      <name val="Arial"/>
    </font>
    <font>
      <sz val="11.0"/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</border>
    <border>
      <left/>
      <right style="thin">
        <color rgb="FF000000"/>
      </right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3" fontId="2" numFmtId="164" xfId="0" applyAlignment="1" applyBorder="1" applyFill="1" applyFont="1" applyNumberFormat="1">
      <alignment vertical="center"/>
    </xf>
    <xf borderId="0" fillId="0" fontId="1" numFmtId="0" xfId="0" applyAlignment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1" fillId="4" fontId="2" numFmtId="164" xfId="0" applyAlignment="1" applyBorder="1" applyFont="1" applyNumberFormat="1">
      <alignment vertical="center"/>
    </xf>
    <xf borderId="2" fillId="2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2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7" fillId="0" fontId="1" numFmtId="165" xfId="0" applyAlignment="1" applyBorder="1" applyFont="1" applyNumberFormat="1">
      <alignment horizontal="right" vertical="center"/>
    </xf>
    <xf borderId="8" fillId="0" fontId="1" numFmtId="49" xfId="0" applyAlignment="1" applyBorder="1" applyFont="1" applyNumberFormat="1">
      <alignment vertical="center"/>
    </xf>
    <xf borderId="6" fillId="0" fontId="1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right" vertical="center"/>
    </xf>
    <xf borderId="9" fillId="0" fontId="1" numFmtId="0" xfId="0" applyAlignment="1" applyBorder="1" applyFont="1">
      <alignment horizontal="center" vertical="center"/>
    </xf>
    <xf borderId="11" fillId="0" fontId="1" numFmtId="165" xfId="0" applyAlignment="1" applyBorder="1" applyFont="1" applyNumberFormat="1">
      <alignment horizontal="right" vertical="center"/>
    </xf>
    <xf borderId="12" fillId="0" fontId="5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13" fillId="0" fontId="6" numFmtId="165" xfId="0" applyAlignment="1" applyBorder="1" applyFont="1" applyNumberFormat="1">
      <alignment horizontal="right" vertical="center"/>
    </xf>
    <xf borderId="0" fillId="0" fontId="6" numFmtId="0" xfId="0" applyAlignment="1" applyFont="1">
      <alignment vertical="center"/>
    </xf>
    <xf borderId="9" fillId="5" fontId="1" numFmtId="0" xfId="0" applyAlignment="1" applyBorder="1" applyFill="1" applyFont="1">
      <alignment horizontal="center" vertical="center"/>
    </xf>
    <xf borderId="11" fillId="5" fontId="1" numFmtId="165" xfId="0" applyAlignment="1" applyBorder="1" applyFont="1" applyNumberFormat="1">
      <alignment horizontal="right" readingOrder="0" vertical="center"/>
    </xf>
    <xf borderId="8" fillId="0" fontId="1" numFmtId="49" xfId="0" applyAlignment="1" applyBorder="1" applyFont="1" applyNumberFormat="1">
      <alignment readingOrder="0" vertical="center"/>
    </xf>
    <xf borderId="5" fillId="0" fontId="1" numFmtId="0" xfId="0" applyAlignment="1" applyBorder="1" applyFont="1">
      <alignment horizontal="right" vertical="center"/>
    </xf>
    <xf borderId="0" fillId="0" fontId="1" numFmtId="0" xfId="0" applyAlignment="1" applyFont="1">
      <alignment horizontal="right" vertical="center"/>
    </xf>
    <xf borderId="6" fillId="0" fontId="1" numFmtId="0" xfId="0" applyAlignment="1" applyBorder="1" applyFont="1">
      <alignment horizontal="right" readingOrder="0" vertical="center"/>
    </xf>
    <xf borderId="8" fillId="0" fontId="1" numFmtId="0" xfId="0" applyAlignment="1" applyBorder="1" applyFont="1">
      <alignment vertical="center"/>
    </xf>
    <xf borderId="6" fillId="0" fontId="5" numFmtId="0" xfId="0" applyAlignment="1" applyBorder="1" applyFont="1">
      <alignment horizontal="right" vertical="center"/>
    </xf>
    <xf borderId="8" fillId="0" fontId="5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14" fillId="5" fontId="7" numFmtId="0" xfId="0" applyAlignment="1" applyBorder="1" applyFont="1">
      <alignment horizontal="right" vertical="center"/>
    </xf>
    <xf borderId="15" fillId="0" fontId="3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5" fontId="1" numFmtId="0" xfId="0" applyAlignment="1" applyBorder="1" applyFont="1">
      <alignment horizontal="center" vertical="center"/>
    </xf>
    <xf borderId="18" fillId="0" fontId="3" numFmtId="0" xfId="0" applyAlignment="1" applyBorder="1" applyFont="1">
      <alignment vertical="center"/>
    </xf>
    <xf borderId="19" fillId="5" fontId="1" numFmtId="0" xfId="0" applyAlignment="1" applyBorder="1" applyFont="1">
      <alignment horizontal="right" readingOrder="0" vertical="center"/>
    </xf>
    <xf borderId="20" fillId="5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horizontal="center" vertical="center"/>
    </xf>
    <xf borderId="1" fillId="3" fontId="2" numFmtId="165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1" fillId="0" fontId="1" numFmtId="49" xfId="0" applyAlignment="1" applyBorder="1" applyFont="1" applyNumberFormat="1">
      <alignment shrinkToFit="0" vertical="center" wrapText="1"/>
    </xf>
    <xf borderId="11" fillId="0" fontId="1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2" width="12.86"/>
    <col customWidth="1" min="3" max="3" width="12.29"/>
    <col customWidth="1" min="4" max="4" width="84.57"/>
    <col customWidth="1" min="5" max="5" width="91.29"/>
    <col customWidth="1" min="6" max="6" width="11.0"/>
  </cols>
  <sheetData>
    <row r="1" ht="18.0" customHeight="1">
      <c r="A1" s="1" t="s">
        <v>0</v>
      </c>
      <c r="B1" s="2" t="s">
        <v>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.5" customHeight="1">
      <c r="A2" s="2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 t="s">
        <v>2</v>
      </c>
      <c r="B3" s="3" t="s">
        <v>3</v>
      </c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0" customHeight="1">
      <c r="A4" s="4" t="s">
        <v>4</v>
      </c>
      <c r="B4" s="5">
        <f>C83</f>
        <v>122.61</v>
      </c>
      <c r="C4" s="6"/>
      <c r="D4" s="2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4" t="s">
        <v>6</v>
      </c>
      <c r="B5" s="5">
        <f>C108</f>
        <v>56.75</v>
      </c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7" t="s">
        <v>7</v>
      </c>
      <c r="B6" s="8">
        <f>SUM(B4+B5)</f>
        <v>179.36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 t="s">
        <v>8</v>
      </c>
      <c r="B7" s="2"/>
      <c r="C7" s="1"/>
      <c r="D7" s="2"/>
      <c r="E7" s="2" t="s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7.5" customHeight="1">
      <c r="A8" s="2"/>
      <c r="B8" s="2"/>
      <c r="C8" s="1"/>
      <c r="D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9" t="s">
        <v>9</v>
      </c>
      <c r="B9" s="10"/>
      <c r="C9" s="3" t="s">
        <v>10</v>
      </c>
      <c r="D9" s="3" t="s">
        <v>11</v>
      </c>
      <c r="E9" s="11" t="s">
        <v>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12" t="s">
        <v>13</v>
      </c>
      <c r="B10" s="13"/>
      <c r="C10" s="14">
        <v>18.72</v>
      </c>
      <c r="D10" s="15" t="s">
        <v>14</v>
      </c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17"/>
      <c r="B11" s="13"/>
      <c r="C11" s="18"/>
      <c r="D11" s="15" t="s">
        <v>15</v>
      </c>
      <c r="E11" s="1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17"/>
      <c r="B12" s="13"/>
      <c r="C12" s="18"/>
      <c r="D12" s="15" t="s">
        <v>16</v>
      </c>
      <c r="E12" s="1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0"/>
      <c r="B13" s="21"/>
      <c r="C13" s="22"/>
      <c r="D13" s="15" t="s">
        <v>17</v>
      </c>
      <c r="E13" s="1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12" t="s">
        <v>18</v>
      </c>
      <c r="B14" s="13"/>
      <c r="C14" s="23">
        <v>0.0</v>
      </c>
      <c r="D14" s="15" t="s">
        <v>19</v>
      </c>
      <c r="E14" s="1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17"/>
      <c r="B15" s="13"/>
      <c r="C15" s="13"/>
      <c r="D15" s="15" t="s">
        <v>20</v>
      </c>
      <c r="E15" s="1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0"/>
      <c r="B16" s="21"/>
      <c r="C16" s="21"/>
      <c r="D16" s="15" t="s">
        <v>21</v>
      </c>
      <c r="E16" s="1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12" t="s">
        <v>22</v>
      </c>
      <c r="B17" s="13"/>
      <c r="C17" s="23">
        <v>0.0</v>
      </c>
      <c r="D17" s="15" t="s">
        <v>23</v>
      </c>
      <c r="E17" s="1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17"/>
      <c r="B18" s="13"/>
      <c r="C18" s="13"/>
      <c r="D18" s="15" t="s">
        <v>24</v>
      </c>
      <c r="E18" s="1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12" t="s">
        <v>25</v>
      </c>
      <c r="B19" s="13"/>
      <c r="C19" s="23">
        <v>0.2</v>
      </c>
      <c r="D19" s="15" t="s">
        <v>26</v>
      </c>
      <c r="E19" s="1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17"/>
      <c r="B20" s="13"/>
      <c r="C20" s="13"/>
      <c r="D20" s="15" t="s">
        <v>27</v>
      </c>
      <c r="E20" s="1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17"/>
      <c r="B21" s="13"/>
      <c r="C21" s="13"/>
      <c r="D21" s="15" t="s">
        <v>28</v>
      </c>
      <c r="E21" s="1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0"/>
      <c r="B22" s="21"/>
      <c r="C22" s="21"/>
      <c r="D22" s="15" t="s">
        <v>29</v>
      </c>
      <c r="E22" s="1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4" t="s">
        <v>30</v>
      </c>
      <c r="B23" s="21"/>
      <c r="C23" s="25">
        <v>1.0</v>
      </c>
      <c r="D23" s="15" t="s">
        <v>31</v>
      </c>
      <c r="E23" s="1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6" t="s">
        <v>32</v>
      </c>
      <c r="B24" s="27"/>
      <c r="C24" s="28">
        <v>3.65</v>
      </c>
      <c r="D24" s="15" t="s">
        <v>33</v>
      </c>
      <c r="E24" s="1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8.0" customHeight="1">
      <c r="A25" s="30" t="s">
        <v>34</v>
      </c>
      <c r="B25" s="21"/>
      <c r="C25" s="31">
        <v>12.7</v>
      </c>
      <c r="D25" s="32" t="s">
        <v>35</v>
      </c>
      <c r="E25" s="1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12" t="s">
        <v>36</v>
      </c>
      <c r="B26" s="13"/>
      <c r="C26" s="23">
        <v>0.0</v>
      </c>
      <c r="D26" s="15" t="s">
        <v>37</v>
      </c>
      <c r="E26" s="1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0"/>
      <c r="B27" s="21"/>
      <c r="C27" s="21"/>
      <c r="D27" s="15" t="s">
        <v>38</v>
      </c>
      <c r="E27" s="1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12" t="s">
        <v>39</v>
      </c>
      <c r="B28" s="13"/>
      <c r="C28" s="23">
        <v>0.0</v>
      </c>
      <c r="D28" s="15" t="s">
        <v>40</v>
      </c>
      <c r="E28" s="1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12" t="s">
        <v>41</v>
      </c>
      <c r="B29" s="13"/>
      <c r="C29" s="23">
        <v>5.63</v>
      </c>
      <c r="D29" s="15" t="s">
        <v>42</v>
      </c>
      <c r="E29" s="1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17"/>
      <c r="B30" s="13"/>
      <c r="C30" s="13"/>
      <c r="D30" s="15" t="s">
        <v>43</v>
      </c>
      <c r="E30" s="1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12" t="s">
        <v>44</v>
      </c>
      <c r="B31" s="13"/>
      <c r="C31" s="33">
        <v>5.16</v>
      </c>
      <c r="D31" s="15" t="s">
        <v>45</v>
      </c>
      <c r="E31" s="1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5.25" customHeight="1">
      <c r="A32" s="12" t="s">
        <v>46</v>
      </c>
      <c r="B32" s="13"/>
      <c r="C32" s="34">
        <v>2.56</v>
      </c>
      <c r="D32" s="15" t="s">
        <v>47</v>
      </c>
      <c r="E32" s="1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12" t="s">
        <v>48</v>
      </c>
      <c r="B33" s="13"/>
      <c r="C33" s="23">
        <v>2.34</v>
      </c>
      <c r="D33" s="15" t="s">
        <v>49</v>
      </c>
      <c r="E33" s="1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2" t="s">
        <v>50</v>
      </c>
      <c r="B34" s="13"/>
      <c r="C34" s="35">
        <v>1.17</v>
      </c>
      <c r="D34" s="15" t="s">
        <v>51</v>
      </c>
      <c r="E34" s="1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7"/>
      <c r="B35" s="13"/>
      <c r="C35" s="13"/>
      <c r="D35" s="15" t="s">
        <v>52</v>
      </c>
      <c r="E35" s="1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7"/>
      <c r="B36" s="13"/>
      <c r="C36" s="13"/>
      <c r="D36" s="15" t="s">
        <v>53</v>
      </c>
      <c r="E36" s="1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7"/>
      <c r="B37" s="13"/>
      <c r="C37" s="35">
        <v>1.17</v>
      </c>
      <c r="D37" s="15" t="s">
        <v>54</v>
      </c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7"/>
      <c r="B38" s="13"/>
      <c r="C38" s="13"/>
      <c r="D38" s="15" t="s">
        <v>52</v>
      </c>
      <c r="E38" s="1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7"/>
      <c r="B39" s="13"/>
      <c r="C39" s="13"/>
      <c r="D39" s="15" t="s">
        <v>53</v>
      </c>
      <c r="E39" s="1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7"/>
      <c r="B40" s="13"/>
      <c r="C40" s="35">
        <v>2.34</v>
      </c>
      <c r="D40" s="15" t="s">
        <v>55</v>
      </c>
      <c r="E40" s="1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7"/>
      <c r="B41" s="13"/>
      <c r="C41" s="13"/>
      <c r="D41" s="15" t="s">
        <v>52</v>
      </c>
      <c r="E41" s="1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7"/>
      <c r="B42" s="13"/>
      <c r="C42" s="13"/>
      <c r="D42" s="36" t="s">
        <v>53</v>
      </c>
      <c r="E42" s="1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2" t="s">
        <v>56</v>
      </c>
      <c r="B43" s="13"/>
      <c r="C43" s="23">
        <v>1.35</v>
      </c>
      <c r="D43" s="36" t="s">
        <v>51</v>
      </c>
      <c r="E43" s="1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7"/>
      <c r="B44" s="13"/>
      <c r="C44" s="13"/>
      <c r="D44" s="36" t="s">
        <v>57</v>
      </c>
      <c r="E44" s="1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7"/>
      <c r="B45" s="13"/>
      <c r="C45" s="13"/>
      <c r="D45" s="36" t="s">
        <v>43</v>
      </c>
      <c r="E45" s="1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7"/>
      <c r="B46" s="13"/>
      <c r="C46" s="23">
        <v>1.35</v>
      </c>
      <c r="D46" s="36" t="s">
        <v>54</v>
      </c>
      <c r="E46" s="1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7"/>
      <c r="B47" s="13"/>
      <c r="C47" s="13"/>
      <c r="D47" s="36" t="s">
        <v>57</v>
      </c>
      <c r="E47" s="1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7"/>
      <c r="B48" s="13"/>
      <c r="C48" s="13"/>
      <c r="D48" s="36" t="s">
        <v>43</v>
      </c>
      <c r="E48" s="1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12" t="s">
        <v>58</v>
      </c>
      <c r="B49" s="13"/>
      <c r="C49" s="23">
        <v>8.12</v>
      </c>
      <c r="D49" s="36" t="s">
        <v>59</v>
      </c>
      <c r="E49" s="1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1" t="s">
        <v>60</v>
      </c>
      <c r="B50" s="13"/>
      <c r="C50" s="23">
        <v>0.0</v>
      </c>
      <c r="D50" s="16" t="s">
        <v>61</v>
      </c>
      <c r="E50" s="1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1" t="s">
        <v>62</v>
      </c>
      <c r="B51" s="13"/>
      <c r="C51" s="23">
        <v>2.0</v>
      </c>
      <c r="D51" s="16" t="s">
        <v>63</v>
      </c>
      <c r="E51" s="1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12" t="s">
        <v>64</v>
      </c>
      <c r="B52" s="13"/>
      <c r="C52" s="23">
        <v>1.53</v>
      </c>
      <c r="D52" s="36" t="s">
        <v>65</v>
      </c>
      <c r="E52" s="1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12" t="s">
        <v>66</v>
      </c>
      <c r="B53" s="13"/>
      <c r="C53" s="23">
        <v>0.0</v>
      </c>
      <c r="D53" s="16" t="s">
        <v>67</v>
      </c>
      <c r="E53" s="1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12" t="s">
        <v>68</v>
      </c>
      <c r="B54" s="13"/>
      <c r="C54" s="37">
        <v>2.1</v>
      </c>
      <c r="D54" s="38" t="s">
        <v>69</v>
      </c>
      <c r="E54" s="3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17"/>
      <c r="B55" s="13"/>
      <c r="C55" s="37">
        <v>5.73</v>
      </c>
      <c r="D55" s="38" t="s">
        <v>70</v>
      </c>
      <c r="E55" s="40" t="s">
        <v>71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17"/>
      <c r="B56" s="13"/>
      <c r="C56" s="13"/>
      <c r="D56" s="38" t="s">
        <v>72</v>
      </c>
      <c r="E56" s="1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17"/>
      <c r="B57" s="13"/>
      <c r="C57" s="13"/>
      <c r="D57" s="38" t="s">
        <v>73</v>
      </c>
      <c r="E57" s="1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17"/>
      <c r="B58" s="13"/>
      <c r="C58" s="13"/>
      <c r="D58" s="41" t="s">
        <v>74</v>
      </c>
      <c r="E58" s="1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17"/>
      <c r="B59" s="13"/>
      <c r="C59" s="37">
        <v>0.3</v>
      </c>
      <c r="D59" s="41" t="s">
        <v>75</v>
      </c>
      <c r="E59" s="3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17"/>
      <c r="B60" s="13"/>
      <c r="C60" s="13"/>
      <c r="D60" s="41" t="s">
        <v>76</v>
      </c>
      <c r="E60" s="39" t="s">
        <v>77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17"/>
      <c r="B61" s="13"/>
      <c r="C61" s="13"/>
      <c r="D61" s="13"/>
      <c r="E61" s="1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17"/>
      <c r="B62" s="13"/>
      <c r="C62" s="13"/>
      <c r="D62" s="41" t="s">
        <v>78</v>
      </c>
      <c r="E62" s="3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12" t="s">
        <v>79</v>
      </c>
      <c r="B63" s="13"/>
      <c r="C63" s="23">
        <v>2.4</v>
      </c>
      <c r="D63" s="16" t="s">
        <v>80</v>
      </c>
      <c r="E63" s="1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12" t="s">
        <v>81</v>
      </c>
      <c r="B64" s="13"/>
      <c r="C64" s="23">
        <v>16.72</v>
      </c>
      <c r="D64" s="16" t="s">
        <v>82</v>
      </c>
      <c r="E64" s="1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17"/>
      <c r="B65" s="13"/>
      <c r="C65" s="13"/>
      <c r="D65" s="16" t="s">
        <v>83</v>
      </c>
      <c r="E65" s="1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17"/>
      <c r="B66" s="13"/>
      <c r="C66" s="13"/>
      <c r="D66" s="16" t="s">
        <v>84</v>
      </c>
      <c r="E66" s="1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17"/>
      <c r="B67" s="13"/>
      <c r="C67" s="13"/>
      <c r="D67" s="16" t="s">
        <v>85</v>
      </c>
      <c r="E67" s="1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17"/>
      <c r="B68" s="13"/>
      <c r="C68" s="13"/>
      <c r="D68" s="16" t="s">
        <v>86</v>
      </c>
      <c r="E68" s="1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17"/>
      <c r="B69" s="13"/>
      <c r="C69" s="13"/>
      <c r="D69" s="16" t="s">
        <v>87</v>
      </c>
      <c r="E69" s="1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12" t="s">
        <v>88</v>
      </c>
      <c r="B70" s="13"/>
      <c r="C70" s="42">
        <v>9.6</v>
      </c>
      <c r="D70" s="16" t="s">
        <v>89</v>
      </c>
      <c r="E70" s="1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17"/>
      <c r="B71" s="13"/>
      <c r="C71" s="43"/>
      <c r="D71" s="44" t="s">
        <v>90</v>
      </c>
      <c r="E71" s="16" t="s">
        <v>91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17"/>
      <c r="B72" s="13"/>
      <c r="C72" s="43"/>
      <c r="D72" s="44" t="s">
        <v>92</v>
      </c>
      <c r="E72" s="1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17"/>
      <c r="B73" s="13"/>
      <c r="C73" s="43"/>
      <c r="D73" s="44" t="s">
        <v>93</v>
      </c>
      <c r="E73" s="16" t="s">
        <v>94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17"/>
      <c r="B74" s="13"/>
      <c r="C74" s="45"/>
      <c r="D74" s="36" t="s">
        <v>95</v>
      </c>
      <c r="E74" s="1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12" t="s">
        <v>96</v>
      </c>
      <c r="B75" s="13"/>
      <c r="C75" s="23">
        <v>2.49</v>
      </c>
      <c r="D75" s="36" t="s">
        <v>97</v>
      </c>
      <c r="E75" s="1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17"/>
      <c r="B76" s="13"/>
      <c r="C76" s="13"/>
      <c r="D76" s="36" t="s">
        <v>98</v>
      </c>
      <c r="E76" s="1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17"/>
      <c r="B77" s="13"/>
      <c r="C77" s="13"/>
      <c r="D77" s="36" t="s">
        <v>99</v>
      </c>
      <c r="E77" s="1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17"/>
      <c r="B78" s="13"/>
      <c r="C78" s="13"/>
      <c r="D78" s="36" t="s">
        <v>100</v>
      </c>
      <c r="E78" s="1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17"/>
      <c r="B79" s="13"/>
      <c r="C79" s="13"/>
      <c r="D79" s="36" t="s">
        <v>43</v>
      </c>
      <c r="E79" s="1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46" t="s">
        <v>101</v>
      </c>
      <c r="B80" s="47"/>
      <c r="C80" s="48">
        <v>8.64</v>
      </c>
      <c r="D80" s="49" t="s">
        <v>102</v>
      </c>
      <c r="E80" s="1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12" t="s">
        <v>103</v>
      </c>
      <c r="B81" s="13"/>
      <c r="C81" s="23">
        <v>1.03</v>
      </c>
      <c r="D81" s="16" t="s">
        <v>104</v>
      </c>
      <c r="E81" s="1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" t="s">
        <v>105</v>
      </c>
      <c r="B82" s="13"/>
      <c r="C82" s="23">
        <v>2.61</v>
      </c>
      <c r="D82" s="50" t="s">
        <v>106</v>
      </c>
      <c r="E82" s="1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51" t="s">
        <v>107</v>
      </c>
      <c r="B83" s="10"/>
      <c r="C83" s="52">
        <f>SUM(C10:C82)</f>
        <v>122.61</v>
      </c>
      <c r="D83" s="53"/>
      <c r="E83" s="1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54" t="s">
        <v>108</v>
      </c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8.25" customHeight="1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51" t="s">
        <v>9</v>
      </c>
      <c r="B87" s="10"/>
      <c r="C87" s="55" t="s">
        <v>109</v>
      </c>
      <c r="D87" s="55" t="s">
        <v>11</v>
      </c>
      <c r="E87" s="56" t="s">
        <v>12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12" t="s">
        <v>13</v>
      </c>
      <c r="B88" s="13"/>
      <c r="C88" s="14">
        <v>31.28</v>
      </c>
      <c r="D88" s="15" t="s">
        <v>14</v>
      </c>
      <c r="E88" s="1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17"/>
      <c r="B89" s="13"/>
      <c r="C89" s="18"/>
      <c r="D89" s="15" t="s">
        <v>110</v>
      </c>
      <c r="E89" s="1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7"/>
      <c r="B90" s="13"/>
      <c r="C90" s="18"/>
      <c r="D90" s="15" t="s">
        <v>111</v>
      </c>
      <c r="E90" s="1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57.0" customHeight="1">
      <c r="A91" s="20"/>
      <c r="B91" s="21"/>
      <c r="C91" s="22"/>
      <c r="D91" s="57" t="s">
        <v>112</v>
      </c>
      <c r="E91" s="1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4" t="s">
        <v>113</v>
      </c>
      <c r="B92" s="21"/>
      <c r="C92" s="25">
        <v>10.8</v>
      </c>
      <c r="D92" s="58" t="s">
        <v>33</v>
      </c>
      <c r="E92" s="1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12" t="s">
        <v>32</v>
      </c>
      <c r="B93" s="13"/>
      <c r="C93" s="23">
        <v>7.3</v>
      </c>
      <c r="D93" s="16" t="s">
        <v>114</v>
      </c>
      <c r="E93" s="1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12" t="s">
        <v>60</v>
      </c>
      <c r="B94" s="13"/>
      <c r="C94" s="23">
        <v>0.0</v>
      </c>
      <c r="D94" s="16" t="s">
        <v>115</v>
      </c>
      <c r="E94" s="1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12" t="s">
        <v>62</v>
      </c>
      <c r="B95" s="13"/>
      <c r="C95" s="23">
        <v>1.0</v>
      </c>
      <c r="D95" s="16" t="s">
        <v>116</v>
      </c>
      <c r="E95" s="1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12" t="s">
        <v>64</v>
      </c>
      <c r="B96" s="13"/>
      <c r="C96" s="23">
        <v>1.53</v>
      </c>
      <c r="D96" s="36" t="s">
        <v>65</v>
      </c>
      <c r="E96" s="1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12" t="s">
        <v>117</v>
      </c>
      <c r="B97" s="13"/>
      <c r="C97" s="23">
        <v>0.0</v>
      </c>
      <c r="D97" s="16" t="s">
        <v>67</v>
      </c>
      <c r="E97" s="1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59" t="s">
        <v>68</v>
      </c>
      <c r="B98" s="13"/>
      <c r="C98" s="37">
        <v>0.9</v>
      </c>
      <c r="D98" s="38" t="s">
        <v>118</v>
      </c>
      <c r="E98" s="1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17"/>
      <c r="B99" s="13"/>
      <c r="C99" s="37">
        <v>1.91</v>
      </c>
      <c r="D99" s="38" t="s">
        <v>119</v>
      </c>
      <c r="E99" s="40" t="s">
        <v>120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17"/>
      <c r="B100" s="13"/>
      <c r="C100" s="13"/>
      <c r="D100" s="38" t="s">
        <v>121</v>
      </c>
      <c r="E100" s="1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17"/>
      <c r="B101" s="13"/>
      <c r="C101" s="13"/>
      <c r="D101" s="38" t="s">
        <v>73</v>
      </c>
      <c r="E101" s="1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17"/>
      <c r="B102" s="13"/>
      <c r="C102" s="13"/>
      <c r="D102" s="41" t="s">
        <v>122</v>
      </c>
      <c r="E102" s="1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17"/>
      <c r="B103" s="13"/>
      <c r="C103" s="37">
        <v>0.2</v>
      </c>
      <c r="D103" s="41" t="s">
        <v>75</v>
      </c>
      <c r="E103" s="1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17"/>
      <c r="B104" s="13"/>
      <c r="C104" s="13"/>
      <c r="D104" s="41" t="s">
        <v>123</v>
      </c>
      <c r="E104" s="60" t="s">
        <v>124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17"/>
      <c r="B105" s="13"/>
      <c r="C105" s="13"/>
      <c r="D105" s="41" t="s">
        <v>125</v>
      </c>
      <c r="E105" s="1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12" t="s">
        <v>79</v>
      </c>
      <c r="B106" s="13"/>
      <c r="C106" s="23">
        <v>0.8</v>
      </c>
      <c r="D106" s="36" t="s">
        <v>126</v>
      </c>
      <c r="E106" s="1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12" t="s">
        <v>103</v>
      </c>
      <c r="B107" s="13"/>
      <c r="C107" s="23">
        <v>1.03</v>
      </c>
      <c r="D107" s="36" t="s">
        <v>104</v>
      </c>
      <c r="E107" s="1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51" t="s">
        <v>107</v>
      </c>
      <c r="B108" s="10"/>
      <c r="C108" s="52">
        <f>SUM(C88:C107)</f>
        <v>56.75</v>
      </c>
      <c r="D108" s="61"/>
      <c r="E108" s="6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2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2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2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2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2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2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2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2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2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2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2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B233" s="2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B234" s="2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B235" s="2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B236" s="2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B237" s="2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B238" s="2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B239" s="2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B240" s="2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B241" s="2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B242" s="2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B243" s="2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B244" s="2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B245" s="2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B246" s="2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B247" s="2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B248" s="2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B249" s="2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B250" s="2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B251" s="2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B252" s="2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B253" s="2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B254" s="2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B255" s="2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B256" s="2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B257" s="2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B258" s="2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B259" s="2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B260" s="2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B261" s="2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B262" s="2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B263" s="2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B264" s="2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B265" s="2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B266" s="2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B267" s="2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B268" s="2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B269" s="2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B270" s="2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B271" s="2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B272" s="2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B273" s="2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B274" s="2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B275" s="2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B276" s="2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B277" s="2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B278" s="2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B279" s="2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B280" s="2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B281" s="2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B282" s="2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B283" s="2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B284" s="2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B285" s="2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B286" s="2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B287" s="2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B288" s="2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B289" s="2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B290" s="2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B291" s="2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B292" s="2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B293" s="2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B294" s="2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B295" s="2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B296" s="2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B297" s="2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B298" s="2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B299" s="2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B300" s="2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B301" s="2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B302" s="2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B303" s="2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B304" s="2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B305" s="2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B306" s="2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B307" s="2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B308" s="2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B309" s="2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B310" s="2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B311" s="2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B312" s="2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B313" s="2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B314" s="2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B315" s="2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B316" s="2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B317" s="2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B318" s="2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B319" s="2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B320" s="2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B321" s="2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B322" s="2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B323" s="2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B324" s="2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B325" s="2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B326" s="2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B327" s="2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B328" s="2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B329" s="2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B330" s="2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B331" s="2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B332" s="2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B333" s="2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B334" s="2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B335" s="2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B336" s="2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B337" s="2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B338" s="2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B339" s="2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B340" s="2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B341" s="2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B342" s="2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B343" s="2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B344" s="2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B345" s="2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B346" s="2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B347" s="2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B348" s="2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B349" s="2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B350" s="2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B351" s="2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B352" s="2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B353" s="2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B354" s="2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B355" s="2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B356" s="2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B357" s="2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B358" s="2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B359" s="2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B360" s="2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B361" s="2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B362" s="2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B363" s="2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B364" s="2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B365" s="2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B366" s="2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B367" s="2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B368" s="2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B369" s="2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B370" s="2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B371" s="2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B372" s="2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B373" s="2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B374" s="2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B375" s="2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B376" s="2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B377" s="2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B378" s="2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B379" s="2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B380" s="2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B381" s="2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B382" s="2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B383" s="2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B384" s="2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B385" s="2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B386" s="2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B387" s="2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B388" s="2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B389" s="2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B390" s="2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B391" s="2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B392" s="2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B393" s="2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B394" s="2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B395" s="2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B396" s="2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B397" s="2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B398" s="2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B399" s="2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B400" s="2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B401" s="2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B402" s="2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B403" s="2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B404" s="2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B405" s="2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B406" s="2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B407" s="2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B408" s="2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B409" s="2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B410" s="2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B411" s="2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B412" s="2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B413" s="2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B414" s="2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B415" s="2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B416" s="2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B417" s="2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B418" s="2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B419" s="2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B420" s="2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B421" s="2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B422" s="2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B423" s="2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B424" s="2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B425" s="2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B426" s="2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B427" s="2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B428" s="2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B429" s="2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B430" s="2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B431" s="2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B432" s="2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B433" s="2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B434" s="2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B435" s="2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B436" s="2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B437" s="2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B438" s="2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B439" s="2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B440" s="2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B441" s="2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B442" s="2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B443" s="2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B444" s="2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B445" s="2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B446" s="2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B447" s="2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B448" s="2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B449" s="2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B450" s="2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B451" s="2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B452" s="2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B453" s="2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B454" s="2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B455" s="2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B456" s="2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B457" s="2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B458" s="2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B459" s="2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B460" s="2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B461" s="2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B462" s="2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B463" s="2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B464" s="2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B465" s="2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B466" s="2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B467" s="2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B468" s="2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B469" s="2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B470" s="2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B471" s="2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B472" s="2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B473" s="2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B474" s="2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B475" s="2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B476" s="2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B477" s="2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B478" s="2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B479" s="2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B480" s="2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B481" s="2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B482" s="2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B483" s="2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B484" s="2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B485" s="2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B486" s="2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B487" s="2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B488" s="2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B489" s="2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B490" s="2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B491" s="2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B492" s="2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B493" s="2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B494" s="2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B495" s="2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B496" s="2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B497" s="2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B498" s="2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B499" s="2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B500" s="2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B501" s="2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B502" s="2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B503" s="2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B504" s="2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B505" s="2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B506" s="2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B507" s="2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B508" s="2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B509" s="2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B510" s="2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B511" s="2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B512" s="2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B513" s="2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B514" s="2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B515" s="2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B516" s="2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B517" s="2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B518" s="2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B519" s="2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B520" s="2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B521" s="2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B522" s="2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B523" s="2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B524" s="2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B525" s="2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B526" s="2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B527" s="2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B528" s="2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B529" s="2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B530" s="2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B531" s="2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B532" s="2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B533" s="2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B534" s="2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B535" s="2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B536" s="2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B537" s="2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B538" s="2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B539" s="2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B540" s="2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B541" s="2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B542" s="2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B543" s="2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B544" s="2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B545" s="2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B546" s="2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B547" s="2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B548" s="2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B549" s="2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B550" s="2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B551" s="2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B552" s="2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B553" s="2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B554" s="2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B555" s="2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B556" s="2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B557" s="2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B558" s="2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B559" s="2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B560" s="2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B561" s="2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B562" s="2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B563" s="2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B564" s="2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B565" s="2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B566" s="2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B567" s="2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B568" s="2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B569" s="2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B570" s="2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B571" s="2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B572" s="2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B573" s="2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B574" s="2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B575" s="2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B576" s="2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B577" s="2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B578" s="2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B579" s="2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B580" s="2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B581" s="2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B582" s="2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B583" s="2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B584" s="2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B585" s="2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B586" s="2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B587" s="2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B588" s="2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B589" s="2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B590" s="2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B591" s="2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B592" s="2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B593" s="2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B594" s="2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B595" s="2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B596" s="2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B597" s="2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B598" s="2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B599" s="2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B600" s="2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B601" s="2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B602" s="2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B603" s="2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B604" s="2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B605" s="2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B606" s="2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B607" s="2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B608" s="2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B609" s="2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B610" s="2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B611" s="2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B612" s="2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B613" s="2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B614" s="2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B615" s="2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B616" s="2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B617" s="2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B618" s="2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B619" s="2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B620" s="2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B621" s="2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B622" s="2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B623" s="2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B624" s="2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B625" s="2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B626" s="2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B627" s="2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B628" s="2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B629" s="2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B630" s="2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B631" s="2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B632" s="2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B633" s="2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B634" s="2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B635" s="2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B636" s="2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B637" s="2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B638" s="2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B639" s="2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B640" s="2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B641" s="2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B642" s="2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B643" s="2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B644" s="2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B645" s="2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B646" s="2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B647" s="2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B648" s="2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B649" s="2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B650" s="2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B651" s="2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B652" s="2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B653" s="2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B654" s="2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B655" s="2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B656" s="2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B657" s="2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B658" s="2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B659" s="2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B660" s="2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B661" s="2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B662" s="2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B663" s="2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B664" s="2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B665" s="2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B666" s="2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B667" s="2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B668" s="2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B669" s="2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B670" s="2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B671" s="2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B672" s="2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B673" s="2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B674" s="2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B675" s="2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B676" s="2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B677" s="2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B678" s="2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B679" s="2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B680" s="2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B681" s="2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B682" s="2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B683" s="2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B684" s="2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B685" s="2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B686" s="2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B687" s="2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B688" s="2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B689" s="2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B690" s="2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B691" s="2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B692" s="2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B693" s="2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B694" s="2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B695" s="2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B696" s="2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B697" s="2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B698" s="2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B699" s="2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B700" s="2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B701" s="2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B702" s="2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B703" s="2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B704" s="2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B705" s="2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B706" s="2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B707" s="2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B708" s="2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B709" s="2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B710" s="2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B711" s="2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B712" s="2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B713" s="2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B714" s="2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B715" s="2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B716" s="2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B717" s="2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B718" s="2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B719" s="2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B720" s="2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B721" s="2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B722" s="2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B723" s="2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B724" s="2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B725" s="2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B726" s="2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B727" s="2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B728" s="2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B729" s="2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B730" s="2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B731" s="2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B732" s="2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B733" s="2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B734" s="2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B735" s="2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B736" s="2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B737" s="2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B738" s="2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B739" s="2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B740" s="2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B741" s="2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B742" s="2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B743" s="2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B744" s="2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B745" s="2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B746" s="2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B747" s="2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B748" s="2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B749" s="2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B750" s="2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B751" s="2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B752" s="2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B753" s="2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B754" s="2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B755" s="2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B756" s="2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B757" s="2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B758" s="2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B759" s="2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B760" s="2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B761" s="2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B762" s="2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B763" s="2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B764" s="2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B765" s="2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B766" s="2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B767" s="2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B768" s="2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B769" s="2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B770" s="2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B771" s="2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B772" s="2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B773" s="2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B774" s="2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B775" s="2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B776" s="2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B777" s="2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B778" s="2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B779" s="2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B780" s="2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B781" s="2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B782" s="2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B783" s="2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B784" s="2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B785" s="2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B786" s="2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B787" s="2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B788" s="2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B789" s="2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B790" s="2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B791" s="2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B792" s="2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B793" s="2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B794" s="2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B795" s="2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B796" s="2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B797" s="2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B798" s="2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B799" s="2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B800" s="2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B801" s="2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B802" s="2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B803" s="2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B804" s="2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B805" s="2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B806" s="2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B807" s="2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B808" s="2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B809" s="2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B810" s="2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B811" s="2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B812" s="2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B813" s="2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B814" s="2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B815" s="2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B816" s="2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B817" s="2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B818" s="2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B819" s="2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B820" s="2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B821" s="2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B822" s="2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B823" s="2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B824" s="2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B825" s="2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B826" s="2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B827" s="2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B828" s="2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B829" s="2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B830" s="2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B831" s="2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B832" s="2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B833" s="2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B834" s="2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B835" s="2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B836" s="2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B837" s="2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B838" s="2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B839" s="2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B840" s="2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B841" s="2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B842" s="2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B843" s="2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B844" s="2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B845" s="2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B846" s="2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B847" s="2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B848" s="2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B849" s="2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B850" s="2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B851" s="2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B852" s="2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B853" s="2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B854" s="2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B855" s="2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B856" s="2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B857" s="2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B858" s="2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B859" s="2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B860" s="2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B861" s="2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B862" s="2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B863" s="2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B864" s="2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B865" s="2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B866" s="2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B867" s="2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B868" s="2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B869" s="2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B870" s="2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B871" s="2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B872" s="2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B873" s="2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B874" s="2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B875" s="2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B876" s="2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B877" s="2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B878" s="2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B879" s="2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B880" s="2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B881" s="2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B882" s="2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B883" s="2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B884" s="2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B885" s="2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B886" s="2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B887" s="2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B888" s="2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B889" s="2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B890" s="2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B891" s="2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B892" s="2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B893" s="2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B894" s="2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B895" s="2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B896" s="2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B897" s="2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B898" s="2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B899" s="2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B900" s="2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B901" s="2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B902" s="2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B903" s="2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B904" s="2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B905" s="2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B906" s="2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B907" s="2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B908" s="2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B909" s="2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B910" s="2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B911" s="2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B912" s="2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B913" s="2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B914" s="2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B915" s="2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B916" s="2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B917" s="2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B918" s="2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B919" s="2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B920" s="2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B921" s="2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B922" s="2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B923" s="2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B924" s="2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B925" s="2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B926" s="2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B927" s="2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B928" s="2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B929" s="2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B930" s="2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B931" s="2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B932" s="2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B933" s="2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B934" s="2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B935" s="2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B936" s="2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B937" s="2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B938" s="2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B939" s="2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B940" s="2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B941" s="2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B942" s="2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B943" s="2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B944" s="2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B945" s="2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B946" s="2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B947" s="2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B948" s="2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B949" s="2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B950" s="2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B951" s="2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B952" s="2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B953" s="2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B954" s="2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B955" s="2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B956" s="2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B957" s="2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B958" s="2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B959" s="2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B960" s="2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B961" s="2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B962" s="2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B963" s="2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B964" s="2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B965" s="2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B966" s="2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B967" s="2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B968" s="2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B969" s="2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B970" s="2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B971" s="2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B972" s="2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B973" s="2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B974" s="2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B975" s="2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B976" s="2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B977" s="2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B978" s="2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B979" s="2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B980" s="2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B981" s="2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B982" s="2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B983" s="2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B984" s="2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B985" s="2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B986" s="2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B987" s="2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B988" s="2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B989" s="2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B990" s="2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B991" s="2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B992" s="2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B993" s="2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B994" s="2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B995" s="2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B996" s="2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B997" s="2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B998" s="2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2"/>
      <c r="B999" s="2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2"/>
      <c r="B1000" s="2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8.0" customHeight="1">
      <c r="A1001" s="2"/>
      <c r="B1001" s="2"/>
      <c r="C1001" s="1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8.0" customHeight="1">
      <c r="A1002" s="2"/>
      <c r="B1002" s="2"/>
      <c r="C1002" s="1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8.0" customHeight="1">
      <c r="A1003" s="2"/>
      <c r="B1003" s="2"/>
      <c r="C1003" s="1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8.0" customHeight="1">
      <c r="A1004" s="2"/>
      <c r="B1004" s="2"/>
      <c r="C1004" s="1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8.0" customHeight="1">
      <c r="A1005" s="2"/>
      <c r="B1005" s="2"/>
      <c r="C1005" s="1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8.0" customHeight="1">
      <c r="A1006" s="2"/>
      <c r="B1006" s="2"/>
      <c r="C1006" s="1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8.0" customHeight="1">
      <c r="A1007" s="2"/>
      <c r="B1007" s="2"/>
      <c r="C1007" s="1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8.0" customHeight="1">
      <c r="A1008" s="2"/>
      <c r="B1008" s="2"/>
      <c r="C1008" s="1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8.0" customHeight="1">
      <c r="A1009" s="2"/>
      <c r="B1009" s="2"/>
      <c r="C1009" s="1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8.0" customHeight="1">
      <c r="A1010" s="2"/>
      <c r="B1010" s="2"/>
      <c r="C1010" s="1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8.0" customHeight="1">
      <c r="A1011" s="2"/>
      <c r="B1011" s="2"/>
      <c r="C1011" s="1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8.0" customHeight="1">
      <c r="A1012" s="2"/>
      <c r="B1012" s="2"/>
      <c r="C1012" s="1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8.0" customHeight="1">
      <c r="A1013" s="2"/>
      <c r="B1013" s="2"/>
      <c r="C1013" s="1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mergeCells count="67">
    <mergeCell ref="A63:B63"/>
    <mergeCell ref="A64:B69"/>
    <mergeCell ref="C64:C69"/>
    <mergeCell ref="A70:B74"/>
    <mergeCell ref="C70:C74"/>
    <mergeCell ref="A75:B79"/>
    <mergeCell ref="C75:C79"/>
    <mergeCell ref="A80:B80"/>
    <mergeCell ref="A81:B81"/>
    <mergeCell ref="A82:B82"/>
    <mergeCell ref="A83:B83"/>
    <mergeCell ref="A87:B87"/>
    <mergeCell ref="A88:B91"/>
    <mergeCell ref="C88:C91"/>
    <mergeCell ref="A106:B106"/>
    <mergeCell ref="A107:B107"/>
    <mergeCell ref="A108:B108"/>
    <mergeCell ref="A92:B92"/>
    <mergeCell ref="A93:B93"/>
    <mergeCell ref="A94:B94"/>
    <mergeCell ref="A95:B95"/>
    <mergeCell ref="A96:B96"/>
    <mergeCell ref="A97:B97"/>
    <mergeCell ref="A98:B105"/>
    <mergeCell ref="B1:B2"/>
    <mergeCell ref="E7:E8"/>
    <mergeCell ref="A9:B9"/>
    <mergeCell ref="A10:B13"/>
    <mergeCell ref="C10:C13"/>
    <mergeCell ref="C14:C16"/>
    <mergeCell ref="A14:B16"/>
    <mergeCell ref="A17:B18"/>
    <mergeCell ref="C17:C18"/>
    <mergeCell ref="A19:B22"/>
    <mergeCell ref="C19:C22"/>
    <mergeCell ref="A23:B23"/>
    <mergeCell ref="A24:B24"/>
    <mergeCell ref="A25:B25"/>
    <mergeCell ref="A26:B27"/>
    <mergeCell ref="C26:C27"/>
    <mergeCell ref="A28:B28"/>
    <mergeCell ref="A29:B30"/>
    <mergeCell ref="C29:C30"/>
    <mergeCell ref="C40:C42"/>
    <mergeCell ref="C43:C45"/>
    <mergeCell ref="C55:C58"/>
    <mergeCell ref="E55:E58"/>
    <mergeCell ref="C59:C62"/>
    <mergeCell ref="D60:D61"/>
    <mergeCell ref="E60:E61"/>
    <mergeCell ref="A31:B31"/>
    <mergeCell ref="A32:B32"/>
    <mergeCell ref="A33:B33"/>
    <mergeCell ref="A34:B42"/>
    <mergeCell ref="C34:C36"/>
    <mergeCell ref="C37:C39"/>
    <mergeCell ref="C46:C48"/>
    <mergeCell ref="A43:B48"/>
    <mergeCell ref="A49:B49"/>
    <mergeCell ref="A50:B50"/>
    <mergeCell ref="A51:B51"/>
    <mergeCell ref="A52:B52"/>
    <mergeCell ref="A53:B53"/>
    <mergeCell ref="A54:B62"/>
    <mergeCell ref="C99:C102"/>
    <mergeCell ref="E99:E102"/>
    <mergeCell ref="C103:C105"/>
  </mergeCells>
  <printOptions/>
  <pageMargins bottom="0.9843055605888367" footer="0.0" header="0.0" left="0.7480555772781372" right="0.7480555772781372" top="0.9843055605888367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2025-05-21T07:27:34Z</dcterms:created>
  <dc:creator>Lee Mok Won</dc:creator>
</cp:coreProperties>
</file>